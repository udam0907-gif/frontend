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10" yWindow="360" windowWidth="21525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'Sheet1'!$A$2:$O$45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_-;\-* #,##0.0_-;_-* &quot;-&quot;?_-;_-@_-"/>
    <numFmt numFmtId="165" formatCode="_-* #,##0_-;\-* #,##0_-;_-* &quot;-&quot;_-;_-@_-"/>
    <numFmt numFmtId="166" formatCode="_-[$₩-412]* #,##0_-;\-[$₩-412]* #,##0_-;_-[$₩-412]* &quot;-&quot;??_-;_-@_-"/>
    <numFmt numFmtId="167" formatCode="0_ "/>
    <numFmt numFmtId="168" formatCode="_-&quot;₩&quot;* #,##0_-;\-&quot;₩&quot;* #,##0_-;_-&quot;₩&quot;* &quot;-&quot;_-;_-@_-"/>
    <numFmt numFmtId="169" formatCode="[DBNum4][$-412]General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color theme="1"/>
      <sz val="10"/>
      <scheme val="minor"/>
    </font>
    <font>
      <name val="HY나무M"/>
      <charset val="129"/>
      <family val="1"/>
      <b val="1"/>
      <color theme="1"/>
      <sz val="11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theme="1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theme="6" tint="-0.249946592608417"/>
      </bottom>
      <diagonal/>
    </border>
    <border>
      <left style="medium">
        <color theme="6" tint="-0.249946592608417"/>
      </left>
      <right style="thin">
        <color theme="6" tint="-0.249946592608417"/>
      </right>
      <top style="medium">
        <color theme="6" tint="-0.249946592608417"/>
      </top>
      <bottom style="thin">
        <color theme="6" tint="-0.249946592608417"/>
      </bottom>
      <diagonal/>
    </border>
    <border>
      <left style="thin">
        <color theme="6" tint="-0.249946592608417"/>
      </left>
      <right style="thin">
        <color theme="6" tint="-0.249946592608417"/>
      </right>
      <top style="medium">
        <color theme="6" tint="-0.249946592608417"/>
      </top>
      <bottom style="thin">
        <color theme="6" tint="-0.249946592608417"/>
      </bottom>
      <diagonal/>
    </border>
    <border>
      <left style="thin">
        <color theme="6" tint="-0.249946592608417"/>
      </left>
      <right style="medium">
        <color theme="6" tint="-0.249946592608417"/>
      </right>
      <top style="medium">
        <color theme="6" tint="-0.249946592608417"/>
      </top>
      <bottom style="thin">
        <color theme="6" tint="-0.249946592608417"/>
      </bottom>
      <diagonal/>
    </border>
    <border>
      <left style="medium">
        <color theme="6" tint="-0.249946592608417"/>
      </left>
      <right style="thin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 style="thin">
        <color theme="6" tint="-0.249946592608417"/>
      </left>
      <right style="thin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 style="thin">
        <color theme="6" tint="-0.249946592608417"/>
      </left>
      <right style="medium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 style="medium">
        <color theme="6" tint="-0.249946592608417"/>
      </left>
      <right style="thin">
        <color theme="6" tint="-0.249946592608417"/>
      </right>
      <top style="thin">
        <color theme="6" tint="-0.249946592608417"/>
      </top>
      <bottom style="medium">
        <color theme="6" tint="-0.249946592608417"/>
      </bottom>
      <diagonal/>
    </border>
    <border>
      <left style="thin">
        <color theme="6" tint="-0.249946592608417"/>
      </left>
      <right style="thin">
        <color theme="6" tint="-0.249946592608417"/>
      </right>
      <top style="thin">
        <color theme="6" tint="-0.249946592608417"/>
      </top>
      <bottom style="medium">
        <color theme="6" tint="-0.249946592608417"/>
      </bottom>
      <diagonal/>
    </border>
    <border>
      <left style="thin">
        <color theme="6" tint="-0.249946592608417"/>
      </left>
      <right style="medium">
        <color theme="6" tint="-0.249946592608417"/>
      </right>
      <top style="thin">
        <color theme="6" tint="-0.249946592608417"/>
      </top>
      <bottom style="medium">
        <color theme="6" tint="-0.249946592608417"/>
      </bottom>
      <diagonal/>
    </border>
    <border>
      <left style="thin">
        <color theme="6" tint="-0.249946592608417"/>
      </left>
      <right/>
      <top style="thin">
        <color theme="6" tint="-0.249946592608417"/>
      </top>
      <bottom style="thin">
        <color theme="6" tint="-0.249946592608417"/>
      </bottom>
      <diagonal/>
    </border>
    <border>
      <left/>
      <right/>
      <top style="thin">
        <color theme="6" tint="-0.249946592608417"/>
      </top>
      <bottom style="thin">
        <color theme="6" tint="-0.249946592608417"/>
      </bottom>
      <diagonal/>
    </border>
    <border>
      <left/>
      <right style="medium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/>
      <right style="thin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 style="thin">
        <color theme="6" tint="-0.249946592608417"/>
      </left>
      <right/>
      <top style="thin">
        <color theme="6" tint="-0.249946592608417"/>
      </top>
      <bottom style="medium">
        <color theme="6" tint="-0.249946592608417"/>
      </bottom>
      <diagonal/>
    </border>
    <border>
      <left/>
      <right style="thin">
        <color theme="6" tint="-0.249946592608417"/>
      </right>
      <top style="thin">
        <color theme="6" tint="-0.249946592608417"/>
      </top>
      <bottom style="medium">
        <color theme="6" tint="-0.249946592608417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medium">
        <color theme="6" tint="-0.499984740745262"/>
      </left>
      <right style="thin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medium">
        <color theme="6" tint="-0.249946592608417"/>
      </top>
      <bottom/>
      <diagonal/>
    </border>
    <border>
      <left/>
      <right/>
      <top style="thin">
        <color theme="6" tint="-0.249946592608417"/>
      </top>
      <bottom/>
      <diagonal/>
    </border>
    <border>
      <left/>
      <right style="medium">
        <color theme="6" tint="-0.249946592608417"/>
      </right>
      <top/>
      <bottom/>
      <diagonal/>
    </border>
    <border>
      <left/>
      <right/>
      <top style="double">
        <color auto="1"/>
      </top>
      <bottom style="medium">
        <color theme="6" tint="-0.499984740745262"/>
      </bottom>
      <diagonal/>
    </border>
    <border>
      <left/>
      <right/>
      <top style="thin">
        <color theme="6" tint="-0.499984740745262"/>
      </top>
      <bottom/>
      <diagonal/>
    </border>
    <border>
      <left/>
      <right/>
      <top style="medium">
        <color theme="6" tint="-0.499984740745262"/>
      </top>
      <bottom style="double">
        <color auto="1"/>
      </bottom>
      <diagonal/>
    </border>
    <border>
      <left style="thin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thin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theme="6" tint="-0.499984740745262"/>
      </left>
      <right style="thin">
        <color theme="6" tint="-0.499984740745262"/>
      </right>
      <top style="medium">
        <color theme="6" tint="-0.499984740745262"/>
      </top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/>
      <right style="thin">
        <color theme="6" tint="-0.249946592608417"/>
      </right>
      <top style="thin">
        <color theme="6" tint="-0.249946592608417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6" tint="-0.249946592608417"/>
      </top>
      <bottom style="medium">
        <color theme="6" tint="-0.249946592608417"/>
      </bottom>
      <diagonal/>
    </border>
    <border>
      <left style="medium">
        <color theme="6" tint="-0.249946592608417"/>
      </left>
      <right/>
      <top/>
      <bottom/>
      <diagonal/>
    </border>
    <border>
      <left style="medium">
        <color theme="6" tint="-0.249946592608417"/>
      </left>
      <right style="thin">
        <color theme="6" tint="-0.249946592608417"/>
      </right>
      <top/>
      <bottom/>
      <diagonal/>
    </border>
    <border>
      <left style="medium">
        <color theme="6" tint="-0.249946592608417"/>
      </left>
      <right style="thin">
        <color theme="6" tint="-0.249946592608417"/>
      </right>
      <top/>
      <bottom style="thin">
        <color theme="6" tint="-0.249946592608417"/>
      </bottom>
      <diagonal/>
    </border>
    <border>
      <left/>
      <right style="thin">
        <color theme="6" tint="-0.249946592608417"/>
      </right>
      <top style="medium">
        <color theme="6" tint="-0.249946592608417"/>
      </top>
      <bottom/>
      <diagonal/>
    </border>
    <border>
      <left/>
      <right/>
      <top style="medium">
        <color theme="6" tint="-0.249946592608417"/>
      </top>
      <bottom style="thin">
        <color theme="6" tint="-0.249946592608417"/>
      </bottom>
      <diagonal/>
    </border>
    <border>
      <left/>
      <right style="thin">
        <color theme="6" tint="-0.249946592608417"/>
      </right>
      <top style="medium">
        <color theme="6" tint="-0.249946592608417"/>
      </top>
      <bottom style="thin">
        <color theme="6" tint="-0.249946592608417"/>
      </bottom>
      <diagonal/>
    </border>
    <border>
      <left/>
      <right/>
      <top style="medium">
        <color theme="6" tint="-0.499984740745262"/>
      </top>
      <bottom/>
      <diagonal/>
    </border>
    <border>
      <left/>
      <right style="thin">
        <color theme="6" tint="-0.499984740745262"/>
      </right>
      <top style="medium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theme="6" tint="-0.499984740745262"/>
      </top>
      <bottom style="double">
        <color auto="1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 indent="1"/>
    </xf>
    <xf numFmtId="0" fontId="4" fillId="3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13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5" borderId="19" applyAlignment="1" pivotButton="0" quotePrefix="0" xfId="0">
      <alignment horizontal="center" vertical="center"/>
    </xf>
    <xf numFmtId="0" fontId="7" fillId="3" borderId="49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3" fillId="0" borderId="19" applyAlignment="1" pivotButton="0" quotePrefix="0" xfId="0">
      <alignment horizontal="center" vertical="center"/>
    </xf>
    <xf numFmtId="165" fontId="3" fillId="0" borderId="19" applyAlignment="1" pivotButton="0" quotePrefix="0" xfId="1">
      <alignment horizontal="right" vertical="center"/>
    </xf>
    <xf numFmtId="165" fontId="3" fillId="0" borderId="21" applyAlignment="1" pivotButton="0" quotePrefix="0" xfId="1">
      <alignment horizontal="right" vertical="center"/>
    </xf>
    <xf numFmtId="0" fontId="3" fillId="0" borderId="19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top"/>
    </xf>
    <xf numFmtId="0" fontId="0" fillId="0" borderId="1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7" fillId="4" borderId="23" applyAlignment="1" pivotButton="0" quotePrefix="0" xfId="0">
      <alignment horizontal="center" vertical="center"/>
    </xf>
    <xf numFmtId="0" fontId="7" fillId="4" borderId="20" applyAlignment="1" pivotButton="0" quotePrefix="0" xfId="0">
      <alignment horizontal="center" vertical="center"/>
    </xf>
    <xf numFmtId="0" fontId="3" fillId="6" borderId="19" applyAlignment="1" pivotButton="0" quotePrefix="0" xfId="0">
      <alignment horizontal="center" vertical="center"/>
    </xf>
    <xf numFmtId="0" fontId="4" fillId="6" borderId="22" applyAlignment="1" pivotButton="0" quotePrefix="0" xfId="0">
      <alignment horizontal="center" vertical="center"/>
    </xf>
    <xf numFmtId="0" fontId="10" fillId="6" borderId="22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40" applyAlignment="1" pivotButton="0" quotePrefix="0" xfId="0">
      <alignment horizontal="left" vertical="center"/>
    </xf>
    <xf numFmtId="0" fontId="0" fillId="0" borderId="41" applyAlignment="1" pivotButton="0" quotePrefix="0" xfId="0">
      <alignment horizontal="left" vertical="center"/>
    </xf>
    <xf numFmtId="0" fontId="0" fillId="0" borderId="42" applyAlignment="1" pivotButton="0" quotePrefix="0" xfId="0">
      <alignment horizontal="left" vertical="center"/>
    </xf>
    <xf numFmtId="0" fontId="0" fillId="0" borderId="43" applyAlignment="1" pivotButton="0" quotePrefix="0" xfId="0">
      <alignment horizontal="left" vertical="center"/>
    </xf>
    <xf numFmtId="0" fontId="0" fillId="0" borderId="44" applyAlignment="1" pivotButton="0" quotePrefix="0" xfId="0">
      <alignment horizontal="left" vertical="center"/>
    </xf>
    <xf numFmtId="0" fontId="0" fillId="0" borderId="45" applyAlignment="1" pivotButton="0" quotePrefix="0" xfId="0">
      <alignment horizontal="left" vertical="center"/>
    </xf>
    <xf numFmtId="0" fontId="0" fillId="0" borderId="46" applyAlignment="1" pivotButton="0" quotePrefix="0" xfId="0">
      <alignment horizontal="left" vertical="center"/>
    </xf>
    <xf numFmtId="0" fontId="0" fillId="0" borderId="47" applyAlignment="1" pivotButton="0" quotePrefix="0" xfId="0">
      <alignment horizontal="left" vertical="center"/>
    </xf>
    <xf numFmtId="0" fontId="0" fillId="0" borderId="48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7" fillId="4" borderId="24" applyAlignment="1" pivotButton="0" quotePrefix="0" xfId="0">
      <alignment horizontal="center" vertical="center"/>
    </xf>
    <xf numFmtId="165" fontId="3" fillId="6" borderId="19" applyAlignment="1" pivotButton="0" quotePrefix="0" xfId="1">
      <alignment horizontal="right" vertical="center"/>
    </xf>
    <xf numFmtId="0" fontId="0" fillId="6" borderId="19" applyAlignment="1" pivotButton="0" quotePrefix="0" xfId="0">
      <alignment horizontal="center" vertical="center"/>
    </xf>
    <xf numFmtId="165" fontId="3" fillId="6" borderId="22" applyAlignment="1" pivotButton="0" quotePrefix="0" xfId="1">
      <alignment horizontal="right" vertical="center"/>
    </xf>
    <xf numFmtId="0" fontId="0" fillId="6" borderId="2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66" fontId="14" fillId="4" borderId="34" applyAlignment="1" pivotButton="0" quotePrefix="0" xfId="1">
      <alignment horizontal="center" vertical="center"/>
    </xf>
    <xf numFmtId="166" fontId="14" fillId="4" borderId="36" applyAlignment="1" pivotButton="0" quotePrefix="0" xfId="1">
      <alignment horizontal="center" vertical="center"/>
    </xf>
    <xf numFmtId="166" fontId="14" fillId="4" borderId="35" applyAlignment="1" pivotButton="0" quotePrefix="0" xfId="1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165" fontId="3" fillId="0" borderId="37" applyAlignment="1" pivotButton="0" quotePrefix="0" xfId="1">
      <alignment horizontal="right" vertical="center"/>
    </xf>
    <xf numFmtId="165" fontId="3" fillId="0" borderId="39" applyAlignment="1" pivotButton="0" quotePrefix="0" xfId="1">
      <alignment horizontal="right" vertical="center"/>
    </xf>
    <xf numFmtId="0" fontId="3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165" fontId="3" fillId="0" borderId="50" applyAlignment="1" pivotButton="0" quotePrefix="0" xfId="1">
      <alignment horizontal="right" vertical="center"/>
    </xf>
    <xf numFmtId="165" fontId="3" fillId="0" borderId="52" applyAlignment="1" pivotButton="0" quotePrefix="0" xfId="1">
      <alignment horizontal="right" vertical="center"/>
    </xf>
    <xf numFmtId="0" fontId="3" fillId="0" borderId="21" applyAlignment="1" pivotButton="0" quotePrefix="0" xfId="0">
      <alignment horizontal="left" vertical="center"/>
    </xf>
    <xf numFmtId="0" fontId="15" fillId="0" borderId="19" applyAlignment="1" pivotButton="0" quotePrefix="0" xfId="0">
      <alignment horizontal="center" vertical="center"/>
    </xf>
    <xf numFmtId="165" fontId="3" fillId="5" borderId="19" applyAlignment="1" pivotButton="0" quotePrefix="0" xfId="1">
      <alignment horizontal="right" vertical="center"/>
    </xf>
    <xf numFmtId="0" fontId="3" fillId="5" borderId="19" applyAlignment="1" pivotButton="0" quotePrefix="0" xfId="0">
      <alignment horizontal="center" vertical="center"/>
    </xf>
    <xf numFmtId="167" fontId="3" fillId="0" borderId="19" applyAlignment="1" pivotButton="0" quotePrefix="0" xfId="0">
      <alignment horizontal="left" vertical="center"/>
    </xf>
    <xf numFmtId="0" fontId="7" fillId="3" borderId="4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/>
    </xf>
    <xf numFmtId="0" fontId="0" fillId="0" borderId="31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168" fontId="8" fillId="4" borderId="17" applyAlignment="1" pivotButton="0" quotePrefix="0" xfId="1">
      <alignment horizontal="left" vertical="center" readingOrder="1"/>
    </xf>
    <xf numFmtId="0" fontId="3" fillId="2" borderId="11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169" fontId="14" fillId="4" borderId="17" applyAlignment="1" pivotButton="0" quotePrefix="0" xfId="0">
      <alignment horizontal="center" vertical="center"/>
    </xf>
    <xf numFmtId="14" fontId="13" fillId="5" borderId="6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textRotation="255" wrapText="1"/>
    </xf>
    <xf numFmtId="0" fontId="7" fillId="2" borderId="5" applyAlignment="1" pivotButton="0" quotePrefix="0" xfId="0">
      <alignment horizontal="center" vertical="center" textRotation="255" wrapText="1"/>
    </xf>
    <xf numFmtId="0" fontId="7" fillId="2" borderId="8" applyAlignment="1" pivotButton="0" quotePrefix="0" xfId="0">
      <alignment horizontal="center" vertical="center" textRotation="255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57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58" pivotButton="0" quotePrefix="0" xfId="0"/>
    <xf numFmtId="0" fontId="0" fillId="0" borderId="16" pivotButton="0" quotePrefix="0" xfId="0"/>
    <xf numFmtId="0" fontId="0" fillId="0" borderId="55" pivotButton="0" quotePrefix="0" xfId="0"/>
    <xf numFmtId="0" fontId="0" fillId="0" borderId="18" pivotButton="0" quotePrefix="0" xfId="0"/>
    <xf numFmtId="0" fontId="0" fillId="0" borderId="17" pivotButton="0" quotePrefix="0" xfId="0"/>
    <xf numFmtId="169" fontId="14" fillId="4" borderId="17" applyAlignment="1" pivotButton="0" quotePrefix="0" xfId="0">
      <alignment horizontal="center" vertical="center"/>
    </xf>
    <xf numFmtId="168" fontId="8" fillId="4" borderId="17" applyAlignment="1" pivotButton="0" quotePrefix="0" xfId="1">
      <alignment horizontal="left" vertical="center" readingOrder="1"/>
    </xf>
    <xf numFmtId="0" fontId="0" fillId="0" borderId="31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38" pivotButton="0" quotePrefix="0" xfId="0"/>
    <xf numFmtId="0" fontId="0" fillId="0" borderId="39" pivotButton="0" quotePrefix="0" xfId="0"/>
    <xf numFmtId="165" fontId="3" fillId="5" borderId="19" applyAlignment="1" pivotButton="0" quotePrefix="0" xfId="1">
      <alignment horizontal="right" vertical="center"/>
    </xf>
    <xf numFmtId="164" fontId="0" fillId="0" borderId="0" applyAlignment="1" pivotButton="0" quotePrefix="0" xfId="0">
      <alignment vertical="center"/>
    </xf>
    <xf numFmtId="167" fontId="3" fillId="0" borderId="19" applyAlignment="1" pivotButton="0" quotePrefix="0" xfId="0">
      <alignment horizontal="left" vertical="center"/>
    </xf>
    <xf numFmtId="165" fontId="3" fillId="0" borderId="19" applyAlignment="1" pivotButton="0" quotePrefix="0" xfId="1">
      <alignment horizontal="right" vertical="center"/>
    </xf>
    <xf numFmtId="0" fontId="0" fillId="0" borderId="51" pivotButton="0" quotePrefix="0" xfId="0"/>
    <xf numFmtId="0" fontId="0" fillId="0" borderId="52" pivotButton="0" quotePrefix="0" xfId="0"/>
    <xf numFmtId="165" fontId="3" fillId="0" borderId="21" applyAlignment="1" pivotButton="0" quotePrefix="0" xfId="1">
      <alignment horizontal="right" vertical="center"/>
    </xf>
    <xf numFmtId="0" fontId="0" fillId="0" borderId="77" applyAlignment="1" pivotButton="0" quotePrefix="0" xfId="0">
      <alignment horizontal="center" vertical="center"/>
    </xf>
    <xf numFmtId="0" fontId="0" fillId="0" borderId="32" pivotButton="0" quotePrefix="0" xfId="0"/>
    <xf numFmtId="165" fontId="3" fillId="6" borderId="19" applyAlignment="1" pivotButton="0" quotePrefix="0" xfId="1">
      <alignment horizontal="right" vertical="center"/>
    </xf>
    <xf numFmtId="0" fontId="0" fillId="0" borderId="64" pivotButton="0" quotePrefix="0" xfId="0"/>
    <xf numFmtId="165" fontId="3" fillId="6" borderId="22" applyAlignment="1" pivotButton="0" quotePrefix="0" xfId="1">
      <alignment horizontal="right" vertical="center"/>
    </xf>
    <xf numFmtId="0" fontId="0" fillId="0" borderId="36" pivotButton="0" quotePrefix="0" xfId="0"/>
    <xf numFmtId="0" fontId="0" fillId="0" borderId="35" pivotButton="0" quotePrefix="0" xfId="0"/>
    <xf numFmtId="166" fontId="14" fillId="4" borderId="20" applyAlignment="1" pivotButton="0" quotePrefix="0" xfId="1">
      <alignment horizontal="center" vertical="center"/>
    </xf>
    <xf numFmtId="0" fontId="0" fillId="0" borderId="33" pivotButton="0" quotePrefix="0" xfId="0"/>
    <xf numFmtId="0" fontId="12" fillId="0" borderId="66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72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67" pivotButton="0" quotePrefix="0" xfId="0"/>
    <xf numFmtId="0" fontId="0" fillId="0" borderId="69" pivotButton="0" quotePrefix="0" xfId="0"/>
    <xf numFmtId="0" fontId="0" fillId="0" borderId="73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6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454269</colOff>
      <row>2</row>
      <rowOff>51289</rowOff>
    </from>
    <to>
      <col>14</col>
      <colOff>342900</colOff>
      <row>4</row>
      <rowOff>138561</rowOff>
    </to>
    <pic>
      <nvPicPr>
        <cNvPr id="3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60577" y="1011116"/>
          <a:ext cx="438150" cy="5122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45"/>
  <sheetViews>
    <sheetView tabSelected="1" view="pageBreakPreview" topLeftCell="A23" zoomScaleSheetLayoutView="100" zoomScalePageLayoutView="85" workbookViewId="0">
      <selection activeCell="R9" sqref="R9"/>
    </sheetView>
  </sheetViews>
  <sheetFormatPr baseColWidth="8" defaultRowHeight="16.5"/>
  <cols>
    <col width="5.625" customWidth="1" style="96" min="1" max="1"/>
    <col width="5.375" customWidth="1" style="96" min="2" max="2"/>
    <col width="2.375" customWidth="1" style="96" min="6" max="6"/>
    <col width="3.625" customWidth="1" style="96" min="7" max="7"/>
    <col width="8.375" customWidth="1" style="96" min="8" max="8"/>
    <col width="4.125" customWidth="1" style="96" min="9" max="9"/>
    <col width="11.625" customWidth="1" style="96" min="10" max="10"/>
    <col width="4.375" customWidth="1" style="96" min="11" max="11"/>
    <col width="5.125" customWidth="1" style="96" min="12" max="12"/>
    <col width="7.5" customWidth="1" style="96" min="13" max="13"/>
    <col width="7.25" customWidth="1" style="96" min="14" max="14"/>
    <col width="4.75" customWidth="1" style="96" min="15" max="15"/>
    <col width="11" bestFit="1" customWidth="1" style="96" min="17" max="17"/>
  </cols>
  <sheetData>
    <row r="1" ht="26.25" customHeight="1" s="96"/>
    <row r="2" ht="48.75" customHeight="1" s="96" thickBot="1">
      <c r="A2" s="16" t="inlineStr">
        <is>
          <t>거   래  명  세  서</t>
        </is>
      </c>
    </row>
    <row r="3" ht="16.5" customHeight="1" s="96">
      <c r="A3" s="97" t="inlineStr">
        <is>
          <t>작성일자</t>
        </is>
      </c>
      <c r="B3" s="98" t="n"/>
      <c r="C3" s="85" t="n"/>
      <c r="D3" s="99" t="n"/>
      <c r="E3" s="98" t="n"/>
      <c r="F3" s="21" t="n"/>
      <c r="G3" s="89" t="inlineStr">
        <is>
          <t>공 급 자</t>
        </is>
      </c>
      <c r="H3" s="2" t="inlineStr">
        <is>
          <t>등 록 번 호</t>
        </is>
      </c>
      <c r="I3" s="92" t="inlineStr">
        <is>
          <t>227-31-06281</t>
        </is>
      </c>
      <c r="J3" s="100" t="n"/>
      <c r="K3" s="100" t="n"/>
      <c r="L3" s="100" t="n"/>
      <c r="M3" s="100" t="n"/>
      <c r="N3" s="100" t="n"/>
      <c r="O3" s="101" t="n"/>
    </row>
    <row r="4">
      <c r="A4" s="20" t="n"/>
      <c r="B4" s="102" t="n"/>
      <c r="C4" s="102" t="n"/>
      <c r="D4" s="102" t="n"/>
      <c r="E4" s="102" t="n"/>
      <c r="F4" s="103" t="n"/>
      <c r="G4" s="104" t="n"/>
      <c r="H4" s="3" t="inlineStr">
        <is>
          <t>상        호</t>
        </is>
      </c>
      <c r="I4" s="94" t="inlineStr">
        <is>
          <t>펀  디</t>
        </is>
      </c>
      <c r="J4" s="98" t="n"/>
      <c r="K4" s="3" t="inlineStr">
        <is>
          <t>대   표   자</t>
        </is>
      </c>
      <c r="L4" s="98" t="n"/>
      <c r="M4" s="81" t="inlineStr">
        <is>
          <t>최  경  희</t>
        </is>
      </c>
      <c r="N4" s="99" t="n"/>
      <c r="O4" s="6" t="inlineStr">
        <is>
          <t>(인)</t>
        </is>
      </c>
    </row>
    <row r="5">
      <c r="A5" s="19" t="n"/>
      <c r="F5" s="103" t="n"/>
      <c r="G5" s="104" t="n"/>
      <c r="H5" s="3" t="inlineStr">
        <is>
          <t>주        소</t>
        </is>
      </c>
      <c r="I5" s="77" t="inlineStr">
        <is>
          <t>대구광역시 달서구 송현동 1955-20</t>
        </is>
      </c>
      <c r="J5" s="99" t="n"/>
      <c r="K5" s="99" t="n"/>
      <c r="L5" s="99" t="n"/>
      <c r="M5" s="99" t="n"/>
      <c r="N5" s="99" t="n"/>
      <c r="O5" s="98" t="n"/>
    </row>
    <row r="6" ht="17.25" customHeight="1" s="96" thickBot="1">
      <c r="A6" s="66" t="n"/>
      <c r="B6" s="105" t="n"/>
      <c r="C6" s="105" t="n"/>
      <c r="D6" s="105" t="n"/>
      <c r="E6" s="1" t="inlineStr">
        <is>
          <t>귀하</t>
        </is>
      </c>
      <c r="F6" s="103" t="n"/>
      <c r="G6" s="104" t="n"/>
      <c r="H6" s="3" t="inlineStr">
        <is>
          <t>업        태</t>
        </is>
      </c>
      <c r="I6" s="77" t="inlineStr">
        <is>
          <t>도소매 서비스</t>
        </is>
      </c>
      <c r="J6" s="98" t="n"/>
      <c r="K6" s="3" t="inlineStr">
        <is>
          <t>종        목</t>
        </is>
      </c>
      <c r="L6" s="98" t="n"/>
      <c r="M6" s="78" t="inlineStr">
        <is>
          <t xml:space="preserve">도소매 전자상거래 </t>
        </is>
      </c>
      <c r="N6" s="99" t="n"/>
      <c r="O6" s="98" t="n"/>
    </row>
    <row r="7" ht="17.25" customHeight="1" s="96" thickBot="1">
      <c r="A7" s="18" t="n"/>
      <c r="B7" s="106" t="n"/>
      <c r="C7" s="106" t="n"/>
      <c r="D7" s="106" t="n"/>
      <c r="E7" s="106" t="n"/>
      <c r="F7" s="103" t="n"/>
      <c r="G7" s="107" t="n"/>
      <c r="H7" s="4" t="inlineStr">
        <is>
          <t>담   당   자</t>
        </is>
      </c>
      <c r="I7" s="80" t="inlineStr">
        <is>
          <t>최경희</t>
        </is>
      </c>
      <c r="J7" s="108" t="n"/>
      <c r="K7" s="4" t="inlineStr">
        <is>
          <t>전 화 번 호</t>
        </is>
      </c>
      <c r="L7" s="108" t="n"/>
      <c r="M7" s="87" t="inlineStr">
        <is>
          <t>010-4456-0301</t>
        </is>
      </c>
      <c r="N7" s="109" t="n"/>
      <c r="O7" s="108" t="n"/>
    </row>
    <row r="8" ht="29.25" customHeight="1" s="96" thickBot="1">
      <c r="A8" s="68" t="inlineStr">
        <is>
          <t xml:space="preserve">  아래와 같이 거래명세서를를 드립니다. </t>
        </is>
      </c>
      <c r="B8" s="110" t="n"/>
      <c r="C8" s="110" t="n"/>
      <c r="D8" s="110" t="n"/>
      <c r="E8" s="110" t="n"/>
      <c r="F8" s="17" t="n"/>
      <c r="G8" s="110" t="n"/>
      <c r="H8" s="110" t="n"/>
      <c r="I8" s="110" t="n"/>
      <c r="J8" s="110" t="n"/>
      <c r="K8" s="110" t="n"/>
      <c r="L8" s="110" t="n"/>
      <c r="M8" s="110" t="n"/>
      <c r="N8" s="110" t="n"/>
      <c r="O8" s="110" t="n"/>
    </row>
    <row r="9" ht="35.25" customHeight="1" s="96" thickBot="1" thickTop="1">
      <c r="A9" s="67" t="inlineStr">
        <is>
          <t>물</t>
        </is>
      </c>
      <c r="B9" s="111" t="n"/>
      <c r="C9" s="111" t="n"/>
      <c r="D9" s="111" t="n"/>
      <c r="E9" s="111" t="n"/>
      <c r="F9" s="83" t="inlineStr">
        <is>
          <t>일금</t>
        </is>
      </c>
      <c r="G9" s="111" t="n"/>
      <c r="H9" s="112">
        <f>I41</f>
        <v/>
      </c>
      <c r="I9" s="111" t="n"/>
      <c r="J9" s="111" t="n"/>
      <c r="K9" s="5" t="inlineStr">
        <is>
          <t>원정</t>
        </is>
      </c>
      <c r="L9" s="113">
        <f>I41</f>
        <v/>
      </c>
      <c r="M9" s="111" t="n"/>
      <c r="N9" s="111" t="n"/>
      <c r="O9" s="111" t="n"/>
    </row>
    <row r="10" ht="18" customHeight="1" s="96" thickBot="1" thickTop="1">
      <c r="A10" s="69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  <c r="N10" s="114" t="n"/>
      <c r="O10" s="114" t="n"/>
    </row>
    <row r="11">
      <c r="A11" s="65" t="inlineStr">
        <is>
          <t>NO.</t>
        </is>
      </c>
      <c r="B11" s="65" t="inlineStr">
        <is>
          <t>품목</t>
        </is>
      </c>
      <c r="C11" s="115" t="n"/>
      <c r="D11" s="116" t="n"/>
      <c r="E11" s="65" t="inlineStr">
        <is>
          <t>규격</t>
        </is>
      </c>
      <c r="F11" s="115" t="n"/>
      <c r="G11" s="116" t="n"/>
      <c r="H11" s="65" t="inlineStr">
        <is>
          <t>수량</t>
        </is>
      </c>
      <c r="I11" s="65" t="inlineStr">
        <is>
          <t>단가</t>
        </is>
      </c>
      <c r="J11" s="116" t="n"/>
      <c r="K11" s="65" t="inlineStr">
        <is>
          <t>공급가액</t>
        </is>
      </c>
      <c r="L11" s="115" t="n"/>
      <c r="M11" s="116" t="n"/>
      <c r="N11" s="65" t="inlineStr">
        <is>
          <t>비고</t>
        </is>
      </c>
      <c r="O11" s="116" t="n"/>
    </row>
    <row r="12">
      <c r="A12" s="12" t="n">
        <v>1</v>
      </c>
      <c r="B12" s="61" t="n"/>
      <c r="C12" s="117" t="n"/>
      <c r="D12" s="118" t="n"/>
      <c r="E12" s="63" t="n"/>
      <c r="F12" s="117" t="n"/>
      <c r="G12" s="118" t="n"/>
      <c r="H12" s="63" t="n"/>
      <c r="I12" s="119" t="n"/>
      <c r="J12" s="118" t="n"/>
      <c r="K12" s="119">
        <f>I12*H12</f>
        <v/>
      </c>
      <c r="L12" s="117" t="n"/>
      <c r="M12" s="118" t="n"/>
      <c r="N12" s="15" t="n"/>
      <c r="O12" s="118" t="n"/>
      <c r="Q12" s="120" t="n"/>
    </row>
    <row r="13">
      <c r="A13" s="12" t="n">
        <v>2</v>
      </c>
      <c r="B13" s="61" t="n"/>
      <c r="C13" s="117" t="n"/>
      <c r="D13" s="118" t="n"/>
      <c r="E13" s="63" t="n"/>
      <c r="F13" s="117" t="n"/>
      <c r="G13" s="118" t="n"/>
      <c r="H13" s="63" t="n"/>
      <c r="I13" s="119" t="n"/>
      <c r="J13" s="118" t="n"/>
      <c r="K13" s="119">
        <f>I13*H13</f>
        <v/>
      </c>
      <c r="L13" s="117" t="n"/>
      <c r="M13" s="118" t="n"/>
      <c r="N13" s="121" t="n"/>
      <c r="O13" s="118" t="n"/>
      <c r="Q13" s="120" t="n"/>
    </row>
    <row r="14">
      <c r="A14" s="12" t="n">
        <v>3</v>
      </c>
      <c r="B14" s="61" t="n"/>
      <c r="C14" s="117" t="n"/>
      <c r="D14" s="118" t="n"/>
      <c r="E14" s="63" t="n"/>
      <c r="F14" s="117" t="n"/>
      <c r="G14" s="118" t="n"/>
      <c r="H14" s="63" t="n"/>
      <c r="I14" s="119" t="n"/>
      <c r="J14" s="118" t="n"/>
      <c r="K14" s="119">
        <f>I14*H14</f>
        <v/>
      </c>
      <c r="L14" s="117" t="n"/>
      <c r="M14" s="118" t="n"/>
      <c r="N14" s="15" t="n"/>
      <c r="O14" s="118" t="n"/>
      <c r="Q14" s="120" t="n"/>
    </row>
    <row r="15">
      <c r="A15" s="12" t="n">
        <v>4</v>
      </c>
      <c r="B15" s="61" t="n"/>
      <c r="C15" s="117" t="n"/>
      <c r="D15" s="118" t="n"/>
      <c r="E15" s="12" t="n"/>
      <c r="F15" s="117" t="n"/>
      <c r="G15" s="118" t="n"/>
      <c r="H15" s="12" t="n"/>
      <c r="I15" s="122" t="n"/>
      <c r="J15" s="118" t="n"/>
      <c r="K15" s="119">
        <f>I15*H15</f>
        <v/>
      </c>
      <c r="L15" s="117" t="n"/>
      <c r="M15" s="118" t="n"/>
      <c r="N15" s="15" t="n"/>
      <c r="O15" s="118" t="n"/>
      <c r="Q15" s="120" t="n"/>
    </row>
    <row r="16">
      <c r="A16" s="12" t="n">
        <v>5</v>
      </c>
      <c r="B16" s="61" t="n"/>
      <c r="C16" s="117" t="n"/>
      <c r="D16" s="118" t="n"/>
      <c r="E16" s="12" t="n"/>
      <c r="F16" s="117" t="n"/>
      <c r="G16" s="118" t="n"/>
      <c r="H16" s="12" t="n"/>
      <c r="I16" s="122" t="n"/>
      <c r="J16" s="118" t="n"/>
      <c r="K16" s="119">
        <f>I16*H16</f>
        <v/>
      </c>
      <c r="L16" s="117" t="n"/>
      <c r="M16" s="118" t="n"/>
      <c r="N16" s="15" t="n"/>
      <c r="O16" s="118" t="n"/>
      <c r="Q16" s="120" t="n"/>
    </row>
    <row r="17">
      <c r="A17" s="12" t="n">
        <v>6</v>
      </c>
      <c r="B17" s="61" t="n"/>
      <c r="C17" s="117" t="n"/>
      <c r="D17" s="118" t="n"/>
      <c r="E17" s="12" t="n"/>
      <c r="F17" s="117" t="n"/>
      <c r="G17" s="118" t="n"/>
      <c r="H17" s="12" t="n"/>
      <c r="I17" s="122" t="n"/>
      <c r="J17" s="118" t="n"/>
      <c r="K17" s="119">
        <f>I17*H17</f>
        <v/>
      </c>
      <c r="L17" s="117" t="n"/>
      <c r="M17" s="118" t="n"/>
      <c r="N17" s="15" t="n"/>
      <c r="O17" s="118" t="n"/>
      <c r="Q17" s="120" t="n"/>
    </row>
    <row r="18">
      <c r="A18" s="12" t="n">
        <v>7</v>
      </c>
      <c r="B18" s="61" t="n"/>
      <c r="C18" s="117" t="n"/>
      <c r="D18" s="118" t="n"/>
      <c r="E18" s="12" t="n"/>
      <c r="F18" s="117" t="n"/>
      <c r="G18" s="118" t="n"/>
      <c r="H18" s="12" t="n"/>
      <c r="I18" s="122" t="n"/>
      <c r="J18" s="118" t="n"/>
      <c r="K18" s="119">
        <f>I18*H18</f>
        <v/>
      </c>
      <c r="L18" s="117" t="n"/>
      <c r="M18" s="118" t="n"/>
      <c r="N18" s="15" t="n"/>
      <c r="O18" s="118" t="n"/>
      <c r="Q18" s="120" t="n"/>
    </row>
    <row r="19">
      <c r="A19" s="12" t="n">
        <v>8</v>
      </c>
      <c r="B19" s="61" t="n"/>
      <c r="C19" s="117" t="n"/>
      <c r="D19" s="118" t="n"/>
      <c r="E19" s="12" t="n"/>
      <c r="F19" s="117" t="n"/>
      <c r="G19" s="118" t="n"/>
      <c r="H19" s="12" t="n"/>
      <c r="I19" s="122" t="n"/>
      <c r="J19" s="118" t="n"/>
      <c r="K19" s="119">
        <f>I19*H19</f>
        <v/>
      </c>
      <c r="L19" s="117" t="n"/>
      <c r="M19" s="118" t="n"/>
      <c r="N19" s="15" t="n"/>
      <c r="O19" s="118" t="n"/>
    </row>
    <row r="20">
      <c r="A20" s="12" t="n">
        <v>9</v>
      </c>
      <c r="B20" s="61" t="n"/>
      <c r="C20" s="117" t="n"/>
      <c r="D20" s="118" t="n"/>
      <c r="E20" s="12" t="n"/>
      <c r="F20" s="117" t="n"/>
      <c r="G20" s="118" t="n"/>
      <c r="H20" s="12" t="n"/>
      <c r="I20" s="122" t="n"/>
      <c r="J20" s="118" t="n"/>
      <c r="K20" s="119">
        <f>I20*H20</f>
        <v/>
      </c>
      <c r="L20" s="117" t="n"/>
      <c r="M20" s="118" t="n"/>
      <c r="N20" s="15" t="n"/>
      <c r="O20" s="118" t="n"/>
    </row>
    <row r="21">
      <c r="A21" s="12" t="n">
        <v>10</v>
      </c>
      <c r="B21" s="61" t="n"/>
      <c r="C21" s="117" t="n"/>
      <c r="D21" s="118" t="n"/>
      <c r="E21" s="12" t="n"/>
      <c r="F21" s="117" t="n"/>
      <c r="G21" s="118" t="n"/>
      <c r="H21" s="12" t="n"/>
      <c r="I21" s="122" t="n"/>
      <c r="J21" s="118" t="n"/>
      <c r="K21" s="119">
        <f>I21*H21</f>
        <v/>
      </c>
      <c r="L21" s="117" t="n"/>
      <c r="M21" s="118" t="n"/>
      <c r="N21" s="15" t="n"/>
      <c r="O21" s="118" t="n"/>
    </row>
    <row r="22">
      <c r="A22" s="12" t="n">
        <v>11</v>
      </c>
      <c r="B22" s="61" t="n"/>
      <c r="C22" s="117" t="n"/>
      <c r="D22" s="118" t="n"/>
      <c r="E22" s="12" t="n"/>
      <c r="F22" s="117" t="n"/>
      <c r="G22" s="118" t="n"/>
      <c r="H22" s="12" t="n"/>
      <c r="I22" s="122" t="n"/>
      <c r="J22" s="118" t="n"/>
      <c r="K22" s="119">
        <f>I22*H22</f>
        <v/>
      </c>
      <c r="L22" s="117" t="n"/>
      <c r="M22" s="118" t="n"/>
      <c r="N22" s="15" t="n"/>
      <c r="O22" s="118" t="n"/>
    </row>
    <row r="23">
      <c r="A23" s="12" t="n">
        <v>12</v>
      </c>
      <c r="B23" s="61" t="n"/>
      <c r="C23" s="117" t="n"/>
      <c r="D23" s="118" t="n"/>
      <c r="E23" s="12" t="n"/>
      <c r="F23" s="117" t="n"/>
      <c r="G23" s="118" t="n"/>
      <c r="H23" s="12" t="n"/>
      <c r="I23" s="122" t="n"/>
      <c r="J23" s="118" t="n"/>
      <c r="K23" s="119">
        <f>I23*H23</f>
        <v/>
      </c>
      <c r="L23" s="117" t="n"/>
      <c r="M23" s="118" t="n"/>
      <c r="N23" s="15" t="n"/>
      <c r="O23" s="118" t="n"/>
    </row>
    <row r="24">
      <c r="A24" s="12" t="n">
        <v>13</v>
      </c>
      <c r="B24" s="61" t="n"/>
      <c r="C24" s="117" t="n"/>
      <c r="D24" s="118" t="n"/>
      <c r="E24" s="12" t="n"/>
      <c r="F24" s="117" t="n"/>
      <c r="G24" s="118" t="n"/>
      <c r="H24" s="12" t="n"/>
      <c r="I24" s="122" t="n"/>
      <c r="J24" s="118" t="n"/>
      <c r="K24" s="119">
        <f>I24*H24</f>
        <v/>
      </c>
      <c r="L24" s="117" t="n"/>
      <c r="M24" s="118" t="n"/>
      <c r="N24" s="15" t="n"/>
      <c r="O24" s="118" t="n"/>
    </row>
    <row r="25">
      <c r="A25" s="12" t="n">
        <v>14</v>
      </c>
      <c r="B25" s="61" t="n"/>
      <c r="C25" s="117" t="n"/>
      <c r="D25" s="118" t="n"/>
      <c r="E25" s="12" t="n"/>
      <c r="F25" s="117" t="n"/>
      <c r="G25" s="118" t="n"/>
      <c r="H25" s="12" t="n"/>
      <c r="I25" s="122" t="n"/>
      <c r="J25" s="118" t="n"/>
      <c r="K25" s="122">
        <f>I25*H25</f>
        <v/>
      </c>
      <c r="L25" s="117" t="n"/>
      <c r="M25" s="118" t="n"/>
      <c r="N25" s="15" t="n"/>
      <c r="O25" s="118" t="n"/>
    </row>
    <row r="26">
      <c r="A26" s="12" t="n">
        <v>15</v>
      </c>
      <c r="B26" s="61" t="n"/>
      <c r="C26" s="117" t="n"/>
      <c r="D26" s="118" t="n"/>
      <c r="E26" s="12" t="n"/>
      <c r="F26" s="117" t="n"/>
      <c r="G26" s="118" t="n"/>
      <c r="H26" s="12" t="n"/>
      <c r="I26" s="122" t="n"/>
      <c r="J26" s="118" t="n"/>
      <c r="K26" s="122">
        <f>I26*H26</f>
        <v/>
      </c>
      <c r="L26" s="117" t="n"/>
      <c r="M26" s="118" t="n"/>
      <c r="N26" s="15" t="n"/>
      <c r="O26" s="118" t="n"/>
    </row>
    <row r="27">
      <c r="A27" s="7" t="n">
        <v>16</v>
      </c>
      <c r="B27" s="7" t="n"/>
      <c r="C27" s="123" t="n"/>
      <c r="D27" s="124" t="n"/>
      <c r="E27" s="7" t="n"/>
      <c r="F27" s="123" t="n"/>
      <c r="G27" s="124" t="n"/>
      <c r="H27" s="7" t="n"/>
      <c r="I27" s="125" t="n"/>
      <c r="J27" s="124" t="n"/>
      <c r="K27" s="125">
        <f>I27*H27</f>
        <v/>
      </c>
      <c r="L27" s="123" t="n"/>
      <c r="M27" s="124" t="n"/>
      <c r="N27" s="60" t="n"/>
      <c r="O27" s="124" t="n"/>
    </row>
    <row r="28">
      <c r="A28" s="7" t="n">
        <v>17</v>
      </c>
      <c r="B28" s="12" t="n"/>
      <c r="C28" s="117" t="n"/>
      <c r="D28" s="118" t="n"/>
      <c r="E28" s="12" t="n"/>
      <c r="F28" s="117" t="n"/>
      <c r="G28" s="118" t="n"/>
      <c r="H28" s="12" t="n"/>
      <c r="I28" s="122" t="n"/>
      <c r="J28" s="118" t="n"/>
      <c r="K28" s="125">
        <f>I28*H28</f>
        <v/>
      </c>
      <c r="L28" s="123" t="n"/>
      <c r="M28" s="124" t="n"/>
      <c r="N28" s="15" t="n"/>
      <c r="O28" s="118" t="n"/>
    </row>
    <row r="29">
      <c r="A29" s="12" t="n">
        <v>18</v>
      </c>
      <c r="B29" s="12" t="n"/>
      <c r="C29" s="117" t="n"/>
      <c r="D29" s="118" t="n"/>
      <c r="E29" s="12" t="n"/>
      <c r="F29" s="117" t="n"/>
      <c r="G29" s="118" t="n"/>
      <c r="H29" s="12" t="n"/>
      <c r="I29" s="122" t="n"/>
      <c r="J29" s="118" t="n"/>
      <c r="K29" s="125">
        <f>I29*H29</f>
        <v/>
      </c>
      <c r="L29" s="123" t="n"/>
      <c r="M29" s="124" t="n"/>
      <c r="N29" s="15" t="n"/>
      <c r="O29" s="118" t="n"/>
    </row>
    <row r="30">
      <c r="A30" s="7" t="n">
        <v>19</v>
      </c>
      <c r="B30" s="12" t="n"/>
      <c r="C30" s="117" t="n"/>
      <c r="D30" s="118" t="n"/>
      <c r="E30" s="12" t="n"/>
      <c r="F30" s="117" t="n"/>
      <c r="G30" s="118" t="n"/>
      <c r="H30" s="12" t="n"/>
      <c r="I30" s="122" t="n"/>
      <c r="J30" s="118" t="n"/>
      <c r="K30" s="125">
        <f>I30*H30</f>
        <v/>
      </c>
      <c r="L30" s="123" t="n"/>
      <c r="M30" s="124" t="n"/>
      <c r="N30" s="15" t="n"/>
      <c r="O30" s="118" t="n"/>
    </row>
    <row r="31">
      <c r="A31" s="12" t="n">
        <v>20</v>
      </c>
      <c r="B31" s="12" t="n"/>
      <c r="C31" s="117" t="n"/>
      <c r="D31" s="118" t="n"/>
      <c r="E31" s="12" t="n"/>
      <c r="F31" s="117" t="n"/>
      <c r="G31" s="118" t="n"/>
      <c r="H31" s="12" t="n"/>
      <c r="I31" s="122" t="n"/>
      <c r="J31" s="118" t="n"/>
      <c r="K31" s="125">
        <f>I31*H31</f>
        <v/>
      </c>
      <c r="L31" s="123" t="n"/>
      <c r="M31" s="124" t="n"/>
      <c r="N31" s="15" t="n"/>
      <c r="O31" s="118" t="n"/>
    </row>
    <row r="32">
      <c r="A32" s="7" t="n">
        <v>21</v>
      </c>
      <c r="B32" s="12" t="n"/>
      <c r="C32" s="117" t="n"/>
      <c r="D32" s="118" t="n"/>
      <c r="E32" s="12" t="n"/>
      <c r="F32" s="117" t="n"/>
      <c r="G32" s="118" t="n"/>
      <c r="H32" s="12" t="n"/>
      <c r="I32" s="122" t="n"/>
      <c r="J32" s="118" t="n"/>
      <c r="K32" s="125">
        <f>I32*H32</f>
        <v/>
      </c>
      <c r="L32" s="123" t="n"/>
      <c r="M32" s="124" t="n"/>
      <c r="N32" s="15" t="n"/>
      <c r="O32" s="118" t="n"/>
    </row>
    <row r="33">
      <c r="A33" s="12" t="n">
        <v>22</v>
      </c>
      <c r="B33" s="12" t="n"/>
      <c r="C33" s="117" t="n"/>
      <c r="D33" s="118" t="n"/>
      <c r="E33" s="12" t="n"/>
      <c r="F33" s="117" t="n"/>
      <c r="G33" s="118" t="n"/>
      <c r="H33" s="12" t="n"/>
      <c r="I33" s="122" t="n"/>
      <c r="J33" s="118" t="n"/>
      <c r="K33" s="125">
        <f>I33*H33</f>
        <v/>
      </c>
      <c r="L33" s="123" t="n"/>
      <c r="M33" s="124" t="n"/>
      <c r="N33" s="15" t="n"/>
      <c r="O33" s="118" t="n"/>
    </row>
    <row r="34">
      <c r="A34" s="7" t="n">
        <v>23</v>
      </c>
      <c r="B34" s="12" t="n"/>
      <c r="C34" s="117" t="n"/>
      <c r="D34" s="118" t="n"/>
      <c r="E34" s="12" t="n"/>
      <c r="F34" s="117" t="n"/>
      <c r="G34" s="118" t="n"/>
      <c r="H34" s="12" t="n"/>
      <c r="I34" s="122" t="n"/>
      <c r="J34" s="118" t="n"/>
      <c r="K34" s="125">
        <f>I34*H34</f>
        <v/>
      </c>
      <c r="L34" s="123" t="n"/>
      <c r="M34" s="124" t="n"/>
      <c r="N34" s="15" t="n"/>
      <c r="O34" s="118" t="n"/>
    </row>
    <row r="35">
      <c r="A35" s="12" t="n">
        <v>24</v>
      </c>
      <c r="B35" s="12" t="n"/>
      <c r="C35" s="117" t="n"/>
      <c r="D35" s="118" t="n"/>
      <c r="E35" s="12" t="n"/>
      <c r="F35" s="117" t="n"/>
      <c r="G35" s="118" t="n"/>
      <c r="H35" s="12" t="n"/>
      <c r="I35" s="122" t="n"/>
      <c r="J35" s="118" t="n"/>
      <c r="K35" s="125">
        <f>I35*H35</f>
        <v/>
      </c>
      <c r="L35" s="123" t="n"/>
      <c r="M35" s="124" t="n"/>
      <c r="N35" s="15" t="n"/>
      <c r="O35" s="118" t="n"/>
    </row>
    <row r="36">
      <c r="A36" s="7" t="n">
        <v>25</v>
      </c>
      <c r="B36" s="12" t="n"/>
      <c r="C36" s="117" t="n"/>
      <c r="D36" s="118" t="n"/>
      <c r="E36" s="12" t="n"/>
      <c r="F36" s="117" t="n"/>
      <c r="G36" s="118" t="n"/>
      <c r="H36" s="12" t="n"/>
      <c r="I36" s="122" t="n"/>
      <c r="J36" s="118" t="n"/>
      <c r="K36" s="125">
        <f>I36*H36</f>
        <v/>
      </c>
      <c r="L36" s="123" t="n"/>
      <c r="M36" s="124" t="n"/>
      <c r="N36" s="15" t="n"/>
      <c r="O36" s="118" t="n"/>
    </row>
    <row r="37">
      <c r="A37" s="12" t="n">
        <v>26</v>
      </c>
      <c r="B37" s="12" t="n"/>
      <c r="C37" s="117" t="n"/>
      <c r="D37" s="118" t="n"/>
      <c r="E37" s="12" t="n"/>
      <c r="F37" s="117" t="n"/>
      <c r="G37" s="118" t="n"/>
      <c r="H37" s="12" t="n"/>
      <c r="I37" s="122" t="n"/>
      <c r="J37" s="118" t="n"/>
      <c r="K37" s="125">
        <f>I37*H37</f>
        <v/>
      </c>
      <c r="L37" s="123" t="n"/>
      <c r="M37" s="124" t="n"/>
      <c r="N37" s="15" t="n"/>
      <c r="O37" s="118" t="n"/>
    </row>
    <row r="38">
      <c r="A38" s="7" t="n">
        <v>27</v>
      </c>
      <c r="B38" s="12" t="n"/>
      <c r="C38" s="117" t="n"/>
      <c r="D38" s="118" t="n"/>
      <c r="E38" s="12" t="n"/>
      <c r="F38" s="117" t="n"/>
      <c r="G38" s="118" t="n"/>
      <c r="H38" s="12" t="n"/>
      <c r="I38" s="122" t="n"/>
      <c r="J38" s="118" t="n"/>
      <c r="K38" s="125">
        <f>I38*H38</f>
        <v/>
      </c>
      <c r="L38" s="123" t="n"/>
      <c r="M38" s="124" t="n"/>
      <c r="N38" s="15" t="n"/>
      <c r="O38" s="118" t="n"/>
    </row>
    <row r="39">
      <c r="A39" s="126" t="n"/>
      <c r="B39" s="127" t="n"/>
      <c r="C39" s="127" t="n"/>
      <c r="D39" s="127" t="n"/>
      <c r="E39" s="24" t="inlineStr">
        <is>
          <t>합   산   금   액</t>
        </is>
      </c>
      <c r="F39" s="117" t="n"/>
      <c r="G39" s="117" t="n"/>
      <c r="H39" s="118" t="n"/>
      <c r="I39" s="128" t="n"/>
      <c r="J39" s="118" t="n"/>
      <c r="K39" s="128">
        <f>SUM(K12:M38)</f>
        <v/>
      </c>
      <c r="L39" s="117" t="n"/>
      <c r="M39" s="118" t="n"/>
      <c r="N39" s="43" t="n"/>
      <c r="O39" s="118" t="n"/>
    </row>
    <row r="40" ht="17.25" customHeight="1" s="96" thickBot="1">
      <c r="E40" s="25" t="inlineStr">
        <is>
          <t>세    액  ( 10%)</t>
        </is>
      </c>
      <c r="F40" s="127" t="n"/>
      <c r="G40" s="127" t="n"/>
      <c r="H40" s="129" t="n"/>
      <c r="I40" s="130" t="n"/>
      <c r="J40" s="129" t="n"/>
      <c r="K40" s="130" t="n"/>
      <c r="L40" s="127" t="n"/>
      <c r="M40" s="129" t="n"/>
      <c r="N40" s="45" t="n"/>
      <c r="O40" s="129" t="n"/>
    </row>
    <row r="41" ht="25.5" customHeight="1" s="96" thickBot="1">
      <c r="E41" s="22" t="inlineStr">
        <is>
          <t>총  합  계  급  액</t>
        </is>
      </c>
      <c r="F41" s="131" t="n"/>
      <c r="G41" s="131" t="n"/>
      <c r="H41" s="132" t="n"/>
      <c r="I41" s="133">
        <f>K40+K39</f>
        <v/>
      </c>
      <c r="J41" s="131" t="n"/>
      <c r="K41" s="131" t="n"/>
      <c r="L41" s="131" t="n"/>
      <c r="M41" s="132" t="n"/>
      <c r="N41" s="23" t="n"/>
      <c r="O41" s="132" t="n"/>
    </row>
    <row r="42" ht="17.25" customHeight="1" s="96" thickBot="1">
      <c r="A42" s="110" t="n"/>
      <c r="B42" s="110" t="n"/>
      <c r="C42" s="110" t="n"/>
      <c r="D42" s="110" t="n"/>
      <c r="E42" s="46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</row>
    <row r="43" ht="17.25" customHeight="1" s="96" thickTop="1">
      <c r="A43" s="135" t="inlineStr">
        <is>
          <t>Memo</t>
        </is>
      </c>
      <c r="B43" s="136" t="n"/>
      <c r="C43" s="137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9" t="n"/>
    </row>
    <row r="44">
      <c r="A44" s="140" t="n"/>
      <c r="B44" s="141" t="n"/>
      <c r="C44" s="142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4" t="n"/>
    </row>
    <row r="45" ht="17.25" customHeight="1" s="96" thickBot="1">
      <c r="A45" s="145" t="n"/>
      <c r="B45" s="146" t="n"/>
      <c r="C45" s="147" t="n"/>
      <c r="D45" s="148" t="n"/>
      <c r="E45" s="148" t="n"/>
      <c r="F45" s="148" t="n"/>
      <c r="G45" s="148" t="n"/>
      <c r="H45" s="148" t="n"/>
      <c r="I45" s="148" t="n"/>
      <c r="J45" s="148" t="n"/>
      <c r="K45" s="148" t="n"/>
      <c r="L45" s="148" t="n"/>
      <c r="M45" s="148" t="n"/>
      <c r="N45" s="148" t="n"/>
      <c r="O45" s="149" t="n"/>
    </row>
    <row r="46" ht="17.25" customHeight="1" s="96" thickTop="1"/>
  </sheetData>
  <mergeCells count="184">
    <mergeCell ref="B11:D11"/>
    <mergeCell ref="K32:M32"/>
    <mergeCell ref="N20:O20"/>
    <mergeCell ref="E13:G13"/>
    <mergeCell ref="N11:O11"/>
    <mergeCell ref="K40:M40"/>
    <mergeCell ref="E31:G31"/>
    <mergeCell ref="E15:G15"/>
    <mergeCell ref="I26:J26"/>
    <mergeCell ref="N22:O22"/>
    <mergeCell ref="B34:D34"/>
    <mergeCell ref="B28:D28"/>
    <mergeCell ref="B37:D37"/>
    <mergeCell ref="N12:O12"/>
    <mergeCell ref="I16:J16"/>
    <mergeCell ref="K27:M27"/>
    <mergeCell ref="I25:J25"/>
    <mergeCell ref="E26:G26"/>
    <mergeCell ref="I41:M41"/>
    <mergeCell ref="B30:D30"/>
    <mergeCell ref="K17:M17"/>
    <mergeCell ref="N39:O39"/>
    <mergeCell ref="N14:O14"/>
    <mergeCell ref="I18:J18"/>
    <mergeCell ref="B20:D20"/>
    <mergeCell ref="E16:G16"/>
    <mergeCell ref="N29:O29"/>
    <mergeCell ref="N38:O38"/>
    <mergeCell ref="E18:G18"/>
    <mergeCell ref="K34:M34"/>
    <mergeCell ref="K16:M16"/>
    <mergeCell ref="N31:O31"/>
    <mergeCell ref="K25:M25"/>
    <mergeCell ref="N40:O40"/>
    <mergeCell ref="I20:J20"/>
    <mergeCell ref="N15:O15"/>
    <mergeCell ref="K36:M36"/>
    <mergeCell ref="N24:O24"/>
    <mergeCell ref="G3:G7"/>
    <mergeCell ref="C43:O43"/>
    <mergeCell ref="E35:G35"/>
    <mergeCell ref="I13:J13"/>
    <mergeCell ref="K20:M20"/>
    <mergeCell ref="K29:M29"/>
    <mergeCell ref="K11:M11"/>
    <mergeCell ref="E20:G20"/>
    <mergeCell ref="N26:O26"/>
    <mergeCell ref="I30:J30"/>
    <mergeCell ref="E28:G28"/>
    <mergeCell ref="N35:O35"/>
    <mergeCell ref="I6:J6"/>
    <mergeCell ref="I15:J15"/>
    <mergeCell ref="K22:M22"/>
    <mergeCell ref="N16:O16"/>
    <mergeCell ref="K31:M31"/>
    <mergeCell ref="B17:D17"/>
    <mergeCell ref="N25:O25"/>
    <mergeCell ref="E30:G30"/>
    <mergeCell ref="K12:M12"/>
    <mergeCell ref="M6:O6"/>
    <mergeCell ref="B19:D19"/>
    <mergeCell ref="A2:O2"/>
    <mergeCell ref="I32:J32"/>
    <mergeCell ref="I7:J7"/>
    <mergeCell ref="K14:M14"/>
    <mergeCell ref="K23:M23"/>
    <mergeCell ref="E32:G32"/>
    <mergeCell ref="B36:D36"/>
    <mergeCell ref="I24:J24"/>
    <mergeCell ref="I33:J33"/>
    <mergeCell ref="N28:O28"/>
    <mergeCell ref="A5:E5"/>
    <mergeCell ref="K18:M18"/>
    <mergeCell ref="F3:F7"/>
    <mergeCell ref="N13:O13"/>
    <mergeCell ref="I17:J17"/>
    <mergeCell ref="F9:G9"/>
    <mergeCell ref="K33:M33"/>
    <mergeCell ref="E24:G24"/>
    <mergeCell ref="I35:J35"/>
    <mergeCell ref="A4:E4"/>
    <mergeCell ref="N30:O30"/>
    <mergeCell ref="E40:H40"/>
    <mergeCell ref="E33:G33"/>
    <mergeCell ref="B31:D31"/>
    <mergeCell ref="M4:N4"/>
    <mergeCell ref="I19:J19"/>
    <mergeCell ref="E17:G17"/>
    <mergeCell ref="K35:M35"/>
    <mergeCell ref="B21:D21"/>
    <mergeCell ref="K6:L6"/>
    <mergeCell ref="B14:D14"/>
    <mergeCell ref="E19:G19"/>
    <mergeCell ref="B23:D23"/>
    <mergeCell ref="N32:O32"/>
    <mergeCell ref="I11:J11"/>
    <mergeCell ref="B13:D13"/>
    <mergeCell ref="N41:O41"/>
    <mergeCell ref="E34:G34"/>
    <mergeCell ref="E36:G36"/>
    <mergeCell ref="E11:G11"/>
    <mergeCell ref="K39:M39"/>
    <mergeCell ref="N18:O18"/>
    <mergeCell ref="I37:J37"/>
    <mergeCell ref="N33:O33"/>
    <mergeCell ref="N27:O27"/>
    <mergeCell ref="A3:B3"/>
    <mergeCell ref="N17:O17"/>
    <mergeCell ref="I21:J21"/>
    <mergeCell ref="K38:M38"/>
    <mergeCell ref="E22:G22"/>
    <mergeCell ref="E39:H39"/>
    <mergeCell ref="A10:O10"/>
    <mergeCell ref="C45:O45"/>
    <mergeCell ref="K13:M13"/>
    <mergeCell ref="E37:G37"/>
    <mergeCell ref="B35:D35"/>
    <mergeCell ref="E12:G12"/>
    <mergeCell ref="N19:O19"/>
    <mergeCell ref="I23:J23"/>
    <mergeCell ref="E21:G21"/>
    <mergeCell ref="B25:D25"/>
    <mergeCell ref="K15:M15"/>
    <mergeCell ref="K7:L7"/>
    <mergeCell ref="K24:M24"/>
    <mergeCell ref="C44:O44"/>
    <mergeCell ref="E14:G14"/>
    <mergeCell ref="I40:J40"/>
    <mergeCell ref="B22:D22"/>
    <mergeCell ref="E23:G23"/>
    <mergeCell ref="I3:O3"/>
    <mergeCell ref="A39:D42"/>
    <mergeCell ref="K21:M21"/>
    <mergeCell ref="H9:J9"/>
    <mergeCell ref="K26:M26"/>
    <mergeCell ref="B12:D12"/>
    <mergeCell ref="A43:B45"/>
    <mergeCell ref="I5:O5"/>
    <mergeCell ref="I34:J34"/>
    <mergeCell ref="L9:O9"/>
    <mergeCell ref="I27:J27"/>
    <mergeCell ref="M7:O7"/>
    <mergeCell ref="E42:O42"/>
    <mergeCell ref="E41:H41"/>
    <mergeCell ref="B29:D29"/>
    <mergeCell ref="N37:O37"/>
    <mergeCell ref="I36:J36"/>
    <mergeCell ref="B38:D38"/>
    <mergeCell ref="N21:O21"/>
    <mergeCell ref="E27:G27"/>
    <mergeCell ref="A7:E7"/>
    <mergeCell ref="I22:J22"/>
    <mergeCell ref="I28:J28"/>
    <mergeCell ref="B15:D15"/>
    <mergeCell ref="N23:O23"/>
    <mergeCell ref="B24:D24"/>
    <mergeCell ref="E25:G25"/>
    <mergeCell ref="B33:D33"/>
    <mergeCell ref="I12:J12"/>
    <mergeCell ref="K19:M19"/>
    <mergeCell ref="A6:D6"/>
    <mergeCell ref="K28:M28"/>
    <mergeCell ref="K37:M37"/>
    <mergeCell ref="B32:D32"/>
    <mergeCell ref="B26:D26"/>
    <mergeCell ref="C3:E3"/>
    <mergeCell ref="I39:J39"/>
    <mergeCell ref="A8:E8"/>
    <mergeCell ref="I14:J14"/>
    <mergeCell ref="K30:M30"/>
    <mergeCell ref="B16:D16"/>
    <mergeCell ref="I29:J29"/>
    <mergeCell ref="I4:J4"/>
    <mergeCell ref="I38:J38"/>
    <mergeCell ref="N34:O34"/>
    <mergeCell ref="F8:O8"/>
    <mergeCell ref="B18:D18"/>
    <mergeCell ref="B27:D27"/>
    <mergeCell ref="I31:J31"/>
    <mergeCell ref="K4:L4"/>
    <mergeCell ref="E29:G29"/>
    <mergeCell ref="N36:O36"/>
    <mergeCell ref="A9:E9"/>
    <mergeCell ref="E38:G38"/>
  </mergeCells>
  <printOptions horizontalCentered="1" verticalCentered="1"/>
  <pageMargins left="0.2362204724409449" right="0.2362204724409449" top="0.06" bottom="0.37" header="0.11" footer="0.3149606299212598"/>
  <pageSetup orientation="portrait" paperSize="9" scale="90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한동인</dc:creator>
  <dcterms:created xmlns:dcterms="http://purl.org/dc/terms/" xmlns:xsi="http://www.w3.org/2001/XMLSchema-instance" xsi:type="dcterms:W3CDTF">2014-01-14T04:03:56Z</dcterms:created>
  <dcterms:modified xmlns:dcterms="http://purl.org/dc/terms/" xmlns:xsi="http://www.w3.org/2001/XMLSchema-instance" xsi:type="dcterms:W3CDTF">2026-04-22T01:23:25Z</dcterms:modified>
  <cp:lastModifiedBy>철훈 최</cp:lastModifiedBy>
  <cp:lastPrinted>2026-01-09T05:27:53Z</cp:lastPrinted>
</cp:coreProperties>
</file>